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7"/>
  <workbookPr filterPrivacy="1"/>
  <xr:revisionPtr revIDLastSave="48" documentId="8_{4629111A-A370-4F9B-8154-61186043DAC7}" xr6:coauthVersionLast="47" xr6:coauthVersionMax="47" xr10:uidLastSave="{5D0DB35F-60D1-461E-ABC2-E9724DE566BC}"/>
  <bookViews>
    <workbookView xWindow="-120" yWindow="-120" windowWidth="29040" windowHeight="15720" xr2:uid="{00000000-000D-0000-FFFF-FFFF00000000}"/>
  </bookViews>
  <sheets>
    <sheet name="Résumé" sheetId="4" r:id="rId1"/>
    <sheet name="Coûts directs" sheetId="1" r:id="rId2"/>
    <sheet name="Coûts indirects" sheetId="5" r:id="rId3"/>
    <sheet name="Frais généraux &amp; administration" sheetId="6" r:id="rId4"/>
  </sheets>
  <definedNames>
    <definedName name="Product_A_Name">Résumé!$C$3</definedName>
    <definedName name="Product_B_Name">Résumé!$D$3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1" i="4"/>
  <c r="D2" i="6"/>
  <c r="C2" i="6"/>
  <c r="D2" i="5"/>
  <c r="C2" i="5"/>
  <c r="D2" i="1"/>
  <c r="C2" i="1"/>
</calcChain>
</file>

<file path=xl/sharedStrings.xml><?xml version="1.0" encoding="utf-8"?>
<sst xmlns="http://schemas.openxmlformats.org/spreadsheetml/2006/main" count="40" uniqueCount="25">
  <si>
    <t xml:space="preserve"> </t>
  </si>
  <si>
    <t>Produit A</t>
  </si>
  <si>
    <t>Produit B</t>
  </si>
  <si>
    <t>Résumé</t>
  </si>
  <si>
    <t>Maillot Homme blanc M</t>
  </si>
  <si>
    <t>Flocage</t>
  </si>
  <si>
    <t xml:space="preserve">Coûts d'achat </t>
  </si>
  <si>
    <t>Coûts de production</t>
  </si>
  <si>
    <t>Frais généraux &amp; administration</t>
  </si>
  <si>
    <t>Prix de revient unitaire du produit</t>
  </si>
  <si>
    <t>Prix de vente unitaire du produit</t>
  </si>
  <si>
    <t>Bénéfice net par produit vendu</t>
  </si>
  <si>
    <t>Unités produites à l'année</t>
  </si>
  <si>
    <t>Bénféice net par semaine</t>
  </si>
  <si>
    <t>Composants métalliques</t>
  </si>
  <si>
    <t>Composants plastiques sur mesure</t>
  </si>
  <si>
    <t>Fabrication</t>
  </si>
  <si>
    <t>Colle</t>
  </si>
  <si>
    <t>Expédition</t>
  </si>
  <si>
    <t>Honoraires d’avocat</t>
  </si>
  <si>
    <t>Assurance responsabilité civile</t>
  </si>
  <si>
    <t>Autorisation</t>
  </si>
  <si>
    <t>Comptes clients</t>
  </si>
  <si>
    <t>Comptes fournisseurs</t>
  </si>
  <si>
    <t>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</si>
</sst>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3" formatCode="_(* #,##0.00_);_(* \(#,##0.00\);_(* &quot;-&quot;??_);_(@_)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#,##0.00\ &quot;€&quot;"/>
  </numFmts>
  <fonts count="24">
    <font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color theme="1"/>
      <name val="Constantia"/>
      <family val="2"/>
      <scheme val="major"/>
    </font>
    <font>
      <sz val="18"/>
      <color theme="5"/>
      <name val="Constantia"/>
      <family val="2"/>
      <scheme val="maj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3" tint="-0.499984740745262"/>
      <name val="Constantia"/>
      <family val="2"/>
      <scheme val="major"/>
    </font>
    <font>
      <sz val="11"/>
      <name val="Constantia"/>
      <family val="2"/>
      <scheme val="major"/>
    </font>
    <font>
      <b/>
      <sz val="11"/>
      <color theme="0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5" tint="0.59996337778862885"/>
      </left>
      <right/>
      <top style="thin">
        <color theme="3"/>
      </top>
      <bottom/>
      <diagonal/>
    </border>
    <border>
      <left style="thin">
        <color theme="5" tint="0.59996337778862885"/>
      </left>
      <right style="thin">
        <color theme="3"/>
      </right>
      <top style="thin">
        <color theme="3"/>
      </top>
      <bottom/>
      <diagonal/>
    </border>
    <border>
      <left style="thin">
        <color theme="6" tint="0.59996337778862885"/>
      </left>
      <right/>
      <top style="thin">
        <color theme="3"/>
      </top>
      <bottom/>
      <diagonal/>
    </border>
    <border>
      <left style="thin">
        <color theme="6" tint="0.59996337778862885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6" tint="0.59996337778862885"/>
      </top>
      <bottom/>
      <diagonal/>
    </border>
    <border>
      <left style="thin">
        <color theme="6" tint="0.59996337778862885"/>
      </left>
      <right/>
      <top style="thin">
        <color theme="6" tint="0.59996337778862885"/>
      </top>
      <bottom/>
      <diagonal/>
    </border>
    <border>
      <left style="thin">
        <color theme="6" tint="0.59996337778862885"/>
      </left>
      <right style="thin">
        <color theme="3"/>
      </right>
      <top style="thin">
        <color theme="6" tint="0.59996337778862885"/>
      </top>
      <bottom/>
      <diagonal/>
    </border>
    <border>
      <left style="thin">
        <color theme="3"/>
      </left>
      <right/>
      <top style="thin">
        <color theme="6" tint="0.59996337778862885"/>
      </top>
      <bottom style="thick">
        <color theme="3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ck">
        <color theme="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3"/>
      </right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3"/>
      </right>
      <top style="thin">
        <color theme="6" tint="0.59996337778862885"/>
      </top>
      <bottom style="thick">
        <color theme="3"/>
      </bottom>
      <diagonal/>
    </border>
  </borders>
  <cellStyleXfs count="47">
    <xf numFmtId="0" fontId="0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15" applyNumberFormat="0" applyAlignment="0" applyProtection="0"/>
    <xf numFmtId="0" fontId="19" fillId="9" borderId="16" applyNumberFormat="0" applyAlignment="0" applyProtection="0"/>
    <xf numFmtId="0" fontId="20" fillId="9" borderId="15" applyNumberFormat="0" applyAlignment="0" applyProtection="0"/>
    <xf numFmtId="0" fontId="21" fillId="0" borderId="17" applyNumberFormat="0" applyFill="0" applyAlignment="0" applyProtection="0"/>
    <xf numFmtId="0" fontId="8" fillId="10" borderId="18" applyNumberFormat="0" applyAlignment="0" applyProtection="0"/>
    <xf numFmtId="0" fontId="22" fillId="0" borderId="0" applyNumberFormat="0" applyFill="0" applyBorder="0" applyAlignment="0" applyProtection="0"/>
    <xf numFmtId="0" fontId="10" fillId="11" borderId="19" applyNumberFormat="0" applyFont="0" applyAlignment="0" applyProtection="0"/>
    <xf numFmtId="0" fontId="23" fillId="0" borderId="0" applyNumberFormat="0" applyFill="0" applyBorder="0" applyAlignment="0" applyProtection="0"/>
    <xf numFmtId="0" fontId="9" fillId="0" borderId="20" applyNumberFormat="0" applyFill="0" applyAlignment="0" applyProtection="0"/>
    <xf numFmtId="0" fontId="1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0" borderId="0" xfId="0" applyFont="1"/>
    <xf numFmtId="0" fontId="1" fillId="2" borderId="2" xfId="0" applyFont="1" applyFill="1" applyBorder="1" applyAlignment="1">
      <alignment vertical="center"/>
    </xf>
    <xf numFmtId="0" fontId="0" fillId="0" borderId="2" xfId="0" applyBorder="1" applyAlignment="1">
      <alignment horizontal="left" vertical="center" indent="1"/>
    </xf>
    <xf numFmtId="0" fontId="0" fillId="4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6" fontId="0" fillId="0" borderId="5" xfId="0" applyNumberFormat="1" applyBorder="1" applyAlignment="1">
      <alignment horizontal="right" vertical="center" indent="1"/>
    </xf>
    <xf numFmtId="166" fontId="0" fillId="0" borderId="6" xfId="0" applyNumberFormat="1" applyBorder="1" applyAlignment="1">
      <alignment horizontal="right" vertical="center" indent="1"/>
    </xf>
    <xf numFmtId="166" fontId="0" fillId="4" borderId="8" xfId="0" applyNumberFormat="1" applyFill="1" applyBorder="1" applyAlignment="1">
      <alignment horizontal="right" vertical="center" indent="1"/>
    </xf>
    <xf numFmtId="166" fontId="0" fillId="4" borderId="9" xfId="0" applyNumberFormat="1" applyFill="1" applyBorder="1" applyAlignment="1">
      <alignment horizontal="right" vertical="center" indent="1"/>
    </xf>
    <xf numFmtId="166" fontId="0" fillId="0" borderId="0" xfId="0" applyNumberFormat="1" applyAlignment="1">
      <alignment horizontal="left" vertical="center" wrapText="1" indent="1"/>
    </xf>
    <xf numFmtId="166" fontId="0" fillId="0" borderId="0" xfId="0" applyNumberFormat="1" applyAlignment="1">
      <alignment horizontal="left" vertical="center" indent="1"/>
    </xf>
    <xf numFmtId="166" fontId="0" fillId="3" borderId="11" xfId="0" applyNumberFormat="1" applyFill="1" applyBorder="1" applyAlignment="1">
      <alignment horizontal="center" vertical="center"/>
    </xf>
    <xf numFmtId="166" fontId="0" fillId="3" borderId="23" xfId="0" applyNumberFormat="1" applyFill="1" applyBorder="1" applyAlignment="1">
      <alignment horizontal="center" vertical="center"/>
    </xf>
    <xf numFmtId="166" fontId="0" fillId="4" borderId="21" xfId="0" applyNumberFormat="1" applyFill="1" applyBorder="1" applyAlignment="1">
      <alignment horizontal="center" vertical="center"/>
    </xf>
    <xf numFmtId="166" fontId="0" fillId="4" borderId="22" xfId="0" applyNumberFormat="1" applyFill="1" applyBorder="1" applyAlignment="1">
      <alignment horizontal="center" vertical="center"/>
    </xf>
    <xf numFmtId="166" fontId="0" fillId="3" borderId="21" xfId="0" applyNumberFormat="1" applyFill="1" applyBorder="1" applyAlignment="1">
      <alignment horizontal="center" vertical="center"/>
    </xf>
    <xf numFmtId="166" fontId="0" fillId="3" borderId="22" xfId="0" applyNumberForma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</cellXfs>
  <cellStyles count="47">
    <cellStyle name="20 % - Accent1" xfId="24" builtinId="30" customBuiltin="1"/>
    <cellStyle name="20 % - Accent2" xfId="28" builtinId="34" customBuiltin="1"/>
    <cellStyle name="20 % - Accent3" xfId="32" builtinId="38" customBuiltin="1"/>
    <cellStyle name="20 % - Accent4" xfId="36" builtinId="42" customBuiltin="1"/>
    <cellStyle name="20 % - Accent5" xfId="40" builtinId="46" customBuiltin="1"/>
    <cellStyle name="20 % - Accent6" xfId="44" builtinId="50" customBuiltin="1"/>
    <cellStyle name="40 % - Accent1" xfId="25" builtinId="31" customBuiltin="1"/>
    <cellStyle name="40 % - Accent2" xfId="29" builtinId="35" customBuiltin="1"/>
    <cellStyle name="40 % - Accent3" xfId="33" builtinId="39" customBuiltin="1"/>
    <cellStyle name="40 % - Accent4" xfId="37" builtinId="43" customBuiltin="1"/>
    <cellStyle name="40 % - Accent5" xfId="41" builtinId="47" customBuiltin="1"/>
    <cellStyle name="40 % - Accent6" xfId="45" builtinId="51" customBuiltin="1"/>
    <cellStyle name="60 % - Accent1" xfId="26" builtinId="32" customBuiltin="1"/>
    <cellStyle name="60 % - Accent2" xfId="30" builtinId="36" customBuiltin="1"/>
    <cellStyle name="60 % - Accent3" xfId="34" builtinId="40" customBuiltin="1"/>
    <cellStyle name="60 % - Accent4" xfId="38" builtinId="44" customBuiltin="1"/>
    <cellStyle name="60 % - Accent5" xfId="42" builtinId="48" customBuiltin="1"/>
    <cellStyle name="60 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Avertissement" xfId="19" builtinId="11" customBuiltin="1"/>
    <cellStyle name="Calcul" xfId="16" builtinId="22" customBuiltin="1"/>
    <cellStyle name="Cellule liée" xfId="17" builtinId="24" customBuiltin="1"/>
    <cellStyle name="Commentaire" xfId="20" builtinId="10" customBuiltin="1"/>
    <cellStyle name="Entrée" xfId="14" builtinId="20" customBuiltin="1"/>
    <cellStyle name="Insatisfaisant" xfId="12" builtinId="27" customBuiltin="1"/>
    <cellStyle name="Milliers" xfId="1" builtinId="3" customBuiltin="1"/>
    <cellStyle name="Milliers [0]" xfId="2" builtinId="6" customBuiltin="1"/>
    <cellStyle name="Monétaire" xfId="3" builtinId="4" customBuiltin="1"/>
    <cellStyle name="Monétaire [0]" xfId="4" builtinId="7" customBuiltin="1"/>
    <cellStyle name="Neutre" xfId="13" builtinId="28" customBuiltin="1"/>
    <cellStyle name="Normal" xfId="0" builtinId="0" customBuiltin="1"/>
    <cellStyle name="Pourcentage" xfId="5" builtinId="5" customBuiltin="1"/>
    <cellStyle name="Satisfaisant" xfId="11" builtinId="26" customBuiltin="1"/>
    <cellStyle name="Sortie" xfId="15" builtinId="21" customBuiltin="1"/>
    <cellStyle name="Texte explicatif" xfId="21" builtinId="53" customBuiltin="1"/>
    <cellStyle name="Titre" xfId="6" builtinId="15" customBuiltin="1"/>
    <cellStyle name="Titre 1" xfId="7" builtinId="16" customBuiltin="1"/>
    <cellStyle name="Titre 2" xfId="8" builtinId="17" customBuiltin="1"/>
    <cellStyle name="Titre 3" xfId="9" builtinId="18" customBuiltin="1"/>
    <cellStyle name="Titre 4" xfId="10" builtinId="19" customBuiltin="1"/>
    <cellStyle name="Total" xfId="22" builtinId="25" customBuiltin="1"/>
    <cellStyle name="Vérification" xfId="18" builtinId="23" customBuiltin="1"/>
  </cellStyles>
  <dxfs count="21">
    <dxf>
      <numFmt numFmtId="166" formatCode="#,##0.00\ &quot;€&quot;"/>
      <alignment horizontal="left" vertical="center" textRotation="0" wrapText="0" indent="1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numFmt numFmtId="166" formatCode="#,##0.00\ &quot;€&quot;"/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eau d’entreprise" pivot="0" count="3" xr9:uid="{00000000-0011-0000-FFFF-FFFF00000000}">
      <tableStyleElement type="wholeTable" dxfId="20"/>
      <tableStyleElement type="headerRow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</xdr:colOff>
      <xdr:row>0</xdr:row>
      <xdr:rowOff>140970</xdr:rowOff>
    </xdr:from>
    <xdr:to>
      <xdr:col>4</xdr:col>
      <xdr:colOff>1576</xdr:colOff>
      <xdr:row>1</xdr:row>
      <xdr:rowOff>0</xdr:rowOff>
    </xdr:to>
    <xdr:pic>
      <xdr:nvPicPr>
        <xdr:cNvPr id="2" name="Image 1" descr="Image abstraite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43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1143</xdr:colOff>
      <xdr:row>0</xdr:row>
      <xdr:rowOff>714441</xdr:rowOff>
    </xdr:from>
    <xdr:to>
      <xdr:col>3</xdr:col>
      <xdr:colOff>1607754</xdr:colOff>
      <xdr:row>1</xdr:row>
      <xdr:rowOff>0</xdr:rowOff>
    </xdr:to>
    <xdr:sp macro="" textlink="">
      <xdr:nvSpPr>
        <xdr:cNvPr id="3" name="Zone de texte 1" descr="Suivi des coûts d’activité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3543" y="714441"/>
          <a:ext cx="6426261" cy="75240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fr" sz="2000" baseline="0">
              <a:solidFill>
                <a:schemeClr val="bg1"/>
              </a:solidFill>
              <a:latin typeface="Constantia" panose="02030602050306030303" pitchFamily="18" charset="0"/>
            </a:rPr>
            <a:t>Estimation des ventes</a:t>
          </a:r>
          <a:endParaRPr lang="en-US" sz="2000">
            <a:solidFill>
              <a:schemeClr val="bg1"/>
            </a:solidFill>
            <a:latin typeface="Constantia" panose="02030602050306030303" pitchFamily="18" charset="0"/>
          </a:endParaRPr>
        </a:p>
        <a:p>
          <a:pPr marL="0" algn="l" rtl="0"/>
          <a:r>
            <a:rPr lang="fr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Flock</a:t>
          </a:r>
          <a:r>
            <a:rPr lang="fr" sz="2000" baseline="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 Soccer</a:t>
          </a:r>
          <a:endParaRPr lang="fr" sz="2000">
            <a:solidFill>
              <a:schemeClr val="tx2">
                <a:lumMod val="20000"/>
                <a:lumOff val="80000"/>
              </a:schemeClr>
            </a:solidFill>
            <a:latin typeface="Constantia" panose="020306020503060303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1472</xdr:colOff>
      <xdr:row>0</xdr:row>
      <xdr:rowOff>140970</xdr:rowOff>
    </xdr:from>
    <xdr:to>
      <xdr:col>4</xdr:col>
      <xdr:colOff>0</xdr:colOff>
      <xdr:row>1</xdr:row>
      <xdr:rowOff>0</xdr:rowOff>
    </xdr:to>
    <xdr:pic>
      <xdr:nvPicPr>
        <xdr:cNvPr id="4" name="Image 3" descr="Image abstraite" title="Banner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72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723900</xdr:rowOff>
    </xdr:from>
    <xdr:to>
      <xdr:col>2</xdr:col>
      <xdr:colOff>1438275</xdr:colOff>
      <xdr:row>1</xdr:row>
      <xdr:rowOff>0</xdr:rowOff>
    </xdr:to>
    <xdr:sp macro="" textlink="">
      <xdr:nvSpPr>
        <xdr:cNvPr id="3" name="Zone de texte 2" descr="Coûts directs" title="Tit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0" y="723900"/>
          <a:ext cx="4648200" cy="7429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fr" sz="2000">
              <a:solidFill>
                <a:schemeClr val="bg1"/>
              </a:solidFill>
              <a:latin typeface="Constantia" panose="02030602050306030303" pitchFamily="18" charset="0"/>
            </a:rPr>
            <a:t>Coûts directs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4</xdr:col>
      <xdr:colOff>433</xdr:colOff>
      <xdr:row>1</xdr:row>
      <xdr:rowOff>0</xdr:rowOff>
    </xdr:to>
    <xdr:pic>
      <xdr:nvPicPr>
        <xdr:cNvPr id="5" name="Image 4" descr="Image abstraite" title="Banner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733424</xdr:rowOff>
    </xdr:from>
    <xdr:to>
      <xdr:col>2</xdr:col>
      <xdr:colOff>1438275</xdr:colOff>
      <xdr:row>0</xdr:row>
      <xdr:rowOff>1466849</xdr:rowOff>
    </xdr:to>
    <xdr:sp macro="" textlink="">
      <xdr:nvSpPr>
        <xdr:cNvPr id="3" name="Zone de texte 3" descr="Coûts indirects" title="Titl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2400" y="733424"/>
          <a:ext cx="4648200" cy="7334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fr" sz="2000">
              <a:solidFill>
                <a:schemeClr val="bg1"/>
              </a:solidFill>
              <a:latin typeface="Constantia" panose="02030602050306030303" pitchFamily="18" charset="0"/>
            </a:rPr>
            <a:t>Coûts indirects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140970</xdr:rowOff>
    </xdr:from>
    <xdr:to>
      <xdr:col>4</xdr:col>
      <xdr:colOff>433</xdr:colOff>
      <xdr:row>1</xdr:row>
      <xdr:rowOff>0</xdr:rowOff>
    </xdr:to>
    <xdr:pic>
      <xdr:nvPicPr>
        <xdr:cNvPr id="5" name="Image 4" descr="Image abstraite" title="Banner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0970"/>
          <a:ext cx="6427903" cy="13258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752474</xdr:rowOff>
    </xdr:from>
    <xdr:to>
      <xdr:col>2</xdr:col>
      <xdr:colOff>1438275</xdr:colOff>
      <xdr:row>0</xdr:row>
      <xdr:rowOff>1466849</xdr:rowOff>
    </xdr:to>
    <xdr:sp macro="" textlink="">
      <xdr:nvSpPr>
        <xdr:cNvPr id="3" name="Zone de texte 4" descr="Frais généraux : administration" title="Titl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52400" y="752474"/>
          <a:ext cx="4648200" cy="71437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fr" sz="2000">
              <a:solidFill>
                <a:schemeClr val="bg1"/>
              </a:solidFill>
              <a:latin typeface="Constantia" panose="02030602050306030303" pitchFamily="18" charset="0"/>
            </a:rPr>
            <a:t>Frais généraux &amp; administration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irectCosts" displayName="Table_DirectCosts" ref="B4:D8" headerRowDxfId="17" dataDxfId="16">
  <tableColumns count="3">
    <tableColumn id="1" xr3:uid="{00000000-0010-0000-0000-000001000000}" name=" " totalsRowLabel="Total" dataDxfId="14" totalsRowDxfId="15"/>
    <tableColumn id="2" xr3:uid="{00000000-0010-0000-0000-000002000000}" name="Produit A" dataDxfId="12" totalsRowDxfId="13"/>
    <tableColumn id="3" xr3:uid="{00000000-0010-0000-0000-000003000000}" name="Produit B" totalsRowFunction="sum" dataDxfId="10" totalsRowDxfId="11"/>
  </tableColumns>
  <tableStyleInfo name="Tableau d’entrepris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IndirectCosts" displayName="Table_IndirectCosts" ref="B4:D8" totalsRowShown="0" headerRowDxfId="9" dataDxfId="8">
  <tableColumns count="3">
    <tableColumn id="1" xr3:uid="{00000000-0010-0000-0100-000001000000}" name=" " dataDxfId="7"/>
    <tableColumn id="2" xr3:uid="{00000000-0010-0000-0100-000002000000}" name="Produit A" dataDxfId="6"/>
    <tableColumn id="3" xr3:uid="{00000000-0010-0000-0100-000003000000}" name="Produit B" dataDxfId="5"/>
  </tableColumns>
  <tableStyleInfo name="Tableau d’entrepris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_GeneralAndAdminCosts" displayName="Table_GeneralAndAdminCosts" ref="B4:D7" totalsRowShown="0" headerRowDxfId="4" dataDxfId="3">
  <tableColumns count="3">
    <tableColumn id="1" xr3:uid="{00000000-0010-0000-0200-000001000000}" name=" " dataDxfId="2"/>
    <tableColumn id="2" xr3:uid="{00000000-0010-0000-0200-000002000000}" name="Produit A" dataDxfId="1"/>
    <tableColumn id="3" xr3:uid="{00000000-0010-0000-0200-000003000000}" name="Produit B" dataDxfId="0"/>
  </tableColumns>
  <tableStyleInfo name="Tableau d’entrepris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"/>
  <sheetViews>
    <sheetView showGridLines="0" showRowColHeaders="0" tabSelected="1" zoomScaleNormal="100" workbookViewId="0">
      <selection activeCell="B8" sqref="B8"/>
    </sheetView>
  </sheetViews>
  <sheetFormatPr defaultColWidth="8.88671875" defaultRowHeight="30" customHeight="1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>
      <c r="E1" s="1" t="s">
        <v>0</v>
      </c>
    </row>
    <row r="2" spans="2:5" s="3" customFormat="1" ht="30" customHeight="1">
      <c r="C2" s="13" t="s">
        <v>1</v>
      </c>
      <c r="D2" s="13" t="s">
        <v>2</v>
      </c>
    </row>
    <row r="3" spans="2:5" s="3" customFormat="1" ht="19.5" customHeight="1">
      <c r="B3" s="6" t="s">
        <v>3</v>
      </c>
      <c r="C3" s="14" t="s">
        <v>4</v>
      </c>
      <c r="D3" s="14" t="s">
        <v>5</v>
      </c>
    </row>
    <row r="4" spans="2:5" s="3" customFormat="1" ht="9" customHeight="1">
      <c r="B4" s="7"/>
    </row>
    <row r="5" spans="2:5" ht="30" customHeight="1">
      <c r="B5" s="8" t="s">
        <v>0</v>
      </c>
      <c r="C5" s="15" t="s">
        <v>1</v>
      </c>
      <c r="D5" s="16" t="s">
        <v>2</v>
      </c>
    </row>
    <row r="6" spans="2:5" ht="30" customHeight="1">
      <c r="B6" s="9" t="s">
        <v>6</v>
      </c>
      <c r="C6" s="18">
        <v>50</v>
      </c>
      <c r="D6" s="19">
        <v>5</v>
      </c>
    </row>
    <row r="7" spans="2:5" ht="30" customHeight="1">
      <c r="B7" s="10" t="s">
        <v>7</v>
      </c>
      <c r="C7" s="20">
        <v>0</v>
      </c>
      <c r="D7" s="21">
        <v>5</v>
      </c>
    </row>
    <row r="8" spans="2:5" ht="30" customHeight="1">
      <c r="B8" s="10" t="s">
        <v>8</v>
      </c>
      <c r="C8" s="26">
        <v>10</v>
      </c>
      <c r="D8" s="27"/>
    </row>
    <row r="9" spans="2:5" ht="30" customHeight="1">
      <c r="B9" s="11" t="s">
        <v>9</v>
      </c>
      <c r="C9" s="28">
        <v>70</v>
      </c>
      <c r="D9" s="29"/>
    </row>
    <row r="10" spans="2:5" ht="30" customHeight="1">
      <c r="B10" s="10" t="s">
        <v>10</v>
      </c>
      <c r="C10" s="26">
        <v>120</v>
      </c>
      <c r="D10" s="27"/>
    </row>
    <row r="11" spans="2:5" ht="30" customHeight="1">
      <c r="B11" s="11" t="s">
        <v>11</v>
      </c>
      <c r="C11" s="28">
        <f>C10-C9</f>
        <v>50</v>
      </c>
      <c r="D11" s="29"/>
    </row>
    <row r="12" spans="2:5" ht="30" customHeight="1">
      <c r="B12" s="10" t="s">
        <v>12</v>
      </c>
      <c r="C12" s="30">
        <v>5200</v>
      </c>
      <c r="D12" s="31"/>
    </row>
    <row r="13" spans="2:5" ht="30" customHeight="1" thickBot="1">
      <c r="B13" s="12" t="s">
        <v>13</v>
      </c>
      <c r="C13" s="24">
        <f>C12*C11</f>
        <v>260000</v>
      </c>
      <c r="D13" s="25"/>
    </row>
    <row r="14" spans="2:5" ht="30" customHeight="1" thickTop="1"/>
  </sheetData>
  <mergeCells count="6">
    <mergeCell ref="C13:D13"/>
    <mergeCell ref="C8:D8"/>
    <mergeCell ref="C9:D9"/>
    <mergeCell ref="C10:D10"/>
    <mergeCell ref="C11:D11"/>
    <mergeCell ref="C12:D12"/>
  </mergeCells>
  <dataValidations count="7">
    <dataValidation allowBlank="1" showInputMessage="1" showErrorMessage="1" promptTitle="Suivi des coûts d’activité" prompt="Entrez coûts directs, indirects, généraux et d’administration dans les 3 onglets suivants. Le coût de revient unitaire est calculé._x000a__x000a_Entrez le nombre d’unités dans C10 et D10 pour calculer le Total des coûts de production/semaine._x000a_" sqref="A1" xr:uid="{00000000-0002-0000-0000-000000000000}"/>
    <dataValidation allowBlank="1" showInputMessage="1" showErrorMessage="1" prompt="Entrez produit A dans la cellule ci-dessous" sqref="C2" xr:uid="{00000000-0002-0000-0000-000001000000}"/>
    <dataValidation allowBlank="1" showInputMessage="1" showErrorMessage="1" prompt="Entrez produit B dans la cellule ci-dessous" sqref="D2" xr:uid="{00000000-0002-0000-0000-000002000000}"/>
    <dataValidation allowBlank="1" showInputMessage="1" showErrorMessage="1" prompt="Entrez produit A dans cette cellule" sqref="C3" xr:uid="{00000000-0002-0000-0000-000003000000}"/>
    <dataValidation allowBlank="1" showInputMessage="1" showErrorMessage="1" prompt="Entrez produit B dans cette cellule" sqref="D3" xr:uid="{00000000-0002-0000-0000-000004000000}"/>
    <dataValidation allowBlank="1" showInputMessage="1" showErrorMessage="1" prompt="Les coûts directs, indirects, généraux et d’administration sont résumées automatiquement à partir de trois autres onglets._x000a__x000a_Entrez les unités produites par semaine pour calculer les coûts totaux de production par semaine." sqref="B3" xr:uid="{00000000-0002-0000-0000-000005000000}"/>
    <dataValidation allowBlank="1" showInputMessage="1" showErrorMessage="1" prompt="Entrez les unités produites par semaine du produit A" sqref="C12" xr:uid="{00000000-0002-0000-0000-000006000000}"/>
  </dataValidations>
  <printOptions horizontalCentere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8"/>
  <sheetViews>
    <sheetView showGridLines="0" showRowColHeaders="0" workbookViewId="0"/>
  </sheetViews>
  <sheetFormatPr defaultColWidth="8.88671875" defaultRowHeight="30" customHeight="1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>
      <c r="E1" s="1" t="s">
        <v>0</v>
      </c>
    </row>
    <row r="2" spans="2:5" customFormat="1" ht="30" customHeight="1">
      <c r="B2" s="6"/>
      <c r="C2" s="4" t="str">
        <f>Product_A_Name</f>
        <v>Maillot Homme blanc M</v>
      </c>
      <c r="D2" s="4" t="str">
        <f>Product_B_Name</f>
        <v>Flocage</v>
      </c>
    </row>
    <row r="3" spans="2:5" ht="9" customHeight="1">
      <c r="C3" s="5"/>
      <c r="D3" s="5"/>
    </row>
    <row r="4" spans="2:5" ht="30" customHeight="1">
      <c r="B4" s="22" t="s">
        <v>0</v>
      </c>
      <c r="C4" s="17" t="s">
        <v>1</v>
      </c>
      <c r="D4" s="17" t="s">
        <v>2</v>
      </c>
    </row>
    <row r="5" spans="2:5" ht="30" customHeight="1">
      <c r="B5" s="2" t="s">
        <v>14</v>
      </c>
      <c r="C5" s="23">
        <v>6000</v>
      </c>
      <c r="D5" s="23">
        <v>8000</v>
      </c>
    </row>
    <row r="6" spans="2:5" ht="30" customHeight="1">
      <c r="B6" s="2" t="s">
        <v>15</v>
      </c>
      <c r="C6" s="23">
        <v>3500</v>
      </c>
      <c r="D6" s="23">
        <v>5500</v>
      </c>
    </row>
    <row r="7" spans="2:5" ht="30" customHeight="1">
      <c r="B7" s="2" t="s">
        <v>16</v>
      </c>
      <c r="C7" s="23">
        <v>8000</v>
      </c>
      <c r="D7" s="23">
        <v>9000</v>
      </c>
    </row>
    <row r="8" spans="2:5" ht="30" customHeight="1">
      <c r="B8" s="2" t="s">
        <v>17</v>
      </c>
      <c r="C8" s="23">
        <v>2500</v>
      </c>
      <c r="D8" s="23">
        <v>2500</v>
      </c>
    </row>
  </sheetData>
  <conditionalFormatting sqref="C5:C8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{F86A3096-9077-4F22-B411-EBA6C40B61E2}</x14:id>
        </ext>
      </extLst>
    </cfRule>
  </conditionalFormatting>
  <conditionalFormatting sqref="D5:D8">
    <cfRule type="dataBar" priority="2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{1C0F6AE8-DF2D-4665-B0D8-F7712A195C87}</x14:id>
        </ext>
      </extLst>
    </cfRule>
  </conditionalFormatting>
  <dataValidations count="2">
    <dataValidation allowBlank="1" showInputMessage="1" showErrorMessage="1" prompt="Entrer des coûts directs dans cet onglet. Modifiez les articles spécifiques dans le tableau et entrez les coûts pour le produit A et le produit B." sqref="A1" xr:uid="{00000000-0002-0000-0100-000000000000}"/>
    <dataValidation allowBlank="1" showInputMessage="1" showErrorMessage="1" prompt="Le nom du produit est automatiquement mis à jour à partir de l’onglet Résumé." sqref="C2:D2" xr:uid="{00000000-0002-0000-01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6A3096-9077-4F22-B411-EBA6C40B61E2}">
            <x14:dataBar minLength="0" maxLength="100" border="1" negativeBarBorderColorSameAsPositive="0">
              <x14:cfvo type="autoMin"/>
              <x14:cfvo type="autoMax"/>
              <x14:borderColor theme="3" tint="0.79998168889431442"/>
              <x14:negativeFillColor rgb="FFFF0000"/>
              <x14:negativeBorderColor rgb="FFFF0000"/>
              <x14:axisColor rgb="FF000000"/>
            </x14:dataBar>
          </x14:cfRule>
          <xm:sqref>C5:C8</xm:sqref>
        </x14:conditionalFormatting>
        <x14:conditionalFormatting xmlns:xm="http://schemas.microsoft.com/office/excel/2006/main">
          <x14:cfRule type="dataBar" id="{1C0F6AE8-DF2D-4665-B0D8-F7712A195C87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8"/>
  <sheetViews>
    <sheetView showGridLines="0" showRowColHeaders="0" zoomScaleNormal="100" workbookViewId="0"/>
  </sheetViews>
  <sheetFormatPr defaultColWidth="8.88671875" defaultRowHeight="30" customHeight="1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>
      <c r="E1" s="1" t="s">
        <v>0</v>
      </c>
    </row>
    <row r="2" spans="2:5" customFormat="1" ht="30" customHeight="1">
      <c r="B2" s="6"/>
      <c r="C2" s="4" t="str">
        <f>Product_A_Name</f>
        <v>Maillot Homme blanc M</v>
      </c>
      <c r="D2" s="4" t="str">
        <f>Product_B_Name</f>
        <v>Flocage</v>
      </c>
    </row>
    <row r="3" spans="2:5" ht="9" customHeight="1">
      <c r="C3" s="5"/>
      <c r="D3" s="5"/>
    </row>
    <row r="4" spans="2:5" ht="30" customHeight="1">
      <c r="B4" s="22" t="s">
        <v>0</v>
      </c>
      <c r="C4" s="17" t="s">
        <v>1</v>
      </c>
      <c r="D4" s="17" t="s">
        <v>2</v>
      </c>
    </row>
    <row r="5" spans="2:5" ht="30" customHeight="1">
      <c r="B5" s="2" t="s">
        <v>18</v>
      </c>
      <c r="C5" s="23">
        <v>3000</v>
      </c>
      <c r="D5" s="23">
        <v>3000</v>
      </c>
    </row>
    <row r="6" spans="2:5" ht="30" customHeight="1">
      <c r="B6" s="2" t="s">
        <v>19</v>
      </c>
      <c r="C6" s="23">
        <v>2500</v>
      </c>
      <c r="D6" s="23">
        <v>2400</v>
      </c>
    </row>
    <row r="7" spans="2:5" ht="30" customHeight="1">
      <c r="B7" s="2" t="s">
        <v>20</v>
      </c>
      <c r="C7" s="23">
        <v>500</v>
      </c>
      <c r="D7" s="23">
        <v>1000</v>
      </c>
    </row>
    <row r="8" spans="2:5" ht="30" customHeight="1">
      <c r="B8" s="2" t="s">
        <v>21</v>
      </c>
      <c r="C8" s="23">
        <v>1000</v>
      </c>
      <c r="D8" s="23">
        <v>1000</v>
      </c>
    </row>
  </sheetData>
  <conditionalFormatting sqref="C5:C8">
    <cfRule type="dataBar" priority="2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{32150250-D49E-43E7-B85B-2403CDEB3D8B}</x14:id>
        </ext>
      </extLst>
    </cfRule>
  </conditionalFormatting>
  <conditionalFormatting sqref="D5:D8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{AF2D0F8D-3EA0-43A3-99CC-5F1487797534}</x14:id>
        </ext>
      </extLst>
    </cfRule>
  </conditionalFormatting>
  <dataValidations count="2">
    <dataValidation allowBlank="1" showInputMessage="1" showErrorMessage="1" prompt="Le nom du produit est automatiquement mis à jour à partir de l’onglet Résumé." sqref="C2:D2" xr:uid="{00000000-0002-0000-0200-000000000000}"/>
    <dataValidation allowBlank="1" showInputMessage="1" showErrorMessage="1" prompt="Entrer des coûts indirects dans cet onglet. Modifiez les articles spécifiques dans le tableau et entrez les coûts pour le produit A et le produit B." sqref="A1" xr:uid="{00000000-0002-0000-02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150250-D49E-43E7-B85B-2403CDEB3D8B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C5:C8</xm:sqref>
        </x14:conditionalFormatting>
        <x14:conditionalFormatting xmlns:xm="http://schemas.microsoft.com/office/excel/2006/main">
          <x14:cfRule type="dataBar" id="{AF2D0F8D-3EA0-43A3-99CC-5F1487797534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"/>
  <sheetViews>
    <sheetView showGridLines="0" showRowColHeaders="0" zoomScaleNormal="100" workbookViewId="0"/>
  </sheetViews>
  <sheetFormatPr defaultColWidth="8.88671875" defaultRowHeight="30" customHeight="1"/>
  <cols>
    <col min="1" max="1" width="1.77734375" style="1" customWidth="1"/>
    <col min="2" max="2" width="37.44140625" style="1" customWidth="1"/>
    <col min="3" max="4" width="18.77734375" style="1" customWidth="1"/>
    <col min="5" max="5" width="1.77734375" style="1" customWidth="1"/>
    <col min="6" max="16384" width="8.88671875" style="1"/>
  </cols>
  <sheetData>
    <row r="1" spans="2:5" ht="115.5" customHeight="1">
      <c r="E1" s="1" t="s">
        <v>0</v>
      </c>
    </row>
    <row r="2" spans="2:5" customFormat="1" ht="30" customHeight="1">
      <c r="B2" s="6"/>
      <c r="C2" s="4" t="str">
        <f>Product_A_Name</f>
        <v>Maillot Homme blanc M</v>
      </c>
      <c r="D2" s="4" t="str">
        <f>Product_B_Name</f>
        <v>Flocage</v>
      </c>
    </row>
    <row r="3" spans="2:5" ht="9" customHeight="1">
      <c r="C3" s="5"/>
      <c r="D3" s="5"/>
    </row>
    <row r="4" spans="2:5" ht="30" customHeight="1">
      <c r="B4" s="22" t="s">
        <v>0</v>
      </c>
      <c r="C4" s="17" t="s">
        <v>1</v>
      </c>
      <c r="D4" s="17" t="s">
        <v>2</v>
      </c>
    </row>
    <row r="5" spans="2:5" ht="30" customHeight="1">
      <c r="B5" s="2" t="s">
        <v>22</v>
      </c>
      <c r="C5" s="23">
        <v>1500</v>
      </c>
      <c r="D5" s="23">
        <v>1500</v>
      </c>
    </row>
    <row r="6" spans="2:5" ht="30" customHeight="1">
      <c r="B6" s="2" t="s">
        <v>23</v>
      </c>
      <c r="C6" s="23">
        <v>1500</v>
      </c>
      <c r="D6" s="23">
        <v>1500</v>
      </c>
    </row>
    <row r="7" spans="2:5" ht="30" customHeight="1">
      <c r="B7" s="2" t="s">
        <v>24</v>
      </c>
      <c r="C7" s="23">
        <v>2000</v>
      </c>
      <c r="D7" s="23">
        <v>3000</v>
      </c>
    </row>
  </sheetData>
  <conditionalFormatting sqref="C5:C7">
    <cfRule type="dataBar" priority="3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{C1D0A63A-3261-49C9-9049-C4FF15942392}</x14:id>
        </ext>
      </extLst>
    </cfRule>
  </conditionalFormatting>
  <conditionalFormatting sqref="D5:D7">
    <cfRule type="dataBar" priority="4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{541F17D3-DA2D-4F03-9DF2-6993255B6C25}</x14:id>
        </ext>
      </extLst>
    </cfRule>
  </conditionalFormatting>
  <dataValidations count="2">
    <dataValidation allowBlank="1" showInputMessage="1" showErrorMessage="1" prompt="Le nom du produit est automatiquement mis à jour à partir de l’onglet Résumé." sqref="C2:D2" xr:uid="{00000000-0002-0000-0300-000000000000}"/>
    <dataValidation allowBlank="1" showInputMessage="1" showErrorMessage="1" prompt="Entrer des coûts généraux et d’administration dans cet onglet. Modifiez les articles spécifiques dans le tableau et entrez les coûts pour le produit A et le produit B." sqref="A1" xr:uid="{00000000-0002-0000-0300-000001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D0A63A-3261-49C9-9049-C4FF15942392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C5:C7</xm:sqref>
        </x14:conditionalFormatting>
        <x14:conditionalFormatting xmlns:xm="http://schemas.microsoft.com/office/excel/2006/main">
          <x14:cfRule type="dataBar" id="{541F17D3-DA2D-4F03-9DF2-6993255B6C25}">
            <x14:dataBar minLength="0" maxLength="100" border="1">
              <x14:cfvo type="autoMin"/>
              <x14:cfvo type="autoMax"/>
              <x14:borderColor theme="3" tint="0.79998168889431442"/>
              <x14:negativeFillColor rgb="FFFF0000"/>
              <x14:axisColor rgb="FF000000"/>
            </x14:dataBar>
          </x14:cfRule>
          <xm:sqref>D5:D7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419F2AC-3873-4265-AB04-9F7142AF7015}"/>
</file>

<file path=customXml/itemProps2.xml><?xml version="1.0" encoding="utf-8"?>
<ds:datastoreItem xmlns:ds="http://schemas.openxmlformats.org/officeDocument/2006/customXml" ds:itemID="{678699B5-8818-4025-987C-B43B6F79F251}"/>
</file>

<file path=customXml/itemProps3.xml><?xml version="1.0" encoding="utf-8"?>
<ds:datastoreItem xmlns:ds="http://schemas.openxmlformats.org/officeDocument/2006/customXml" ds:itemID="{B870E071-3BB0-481A-888E-EF4FDCA08A22}"/>
</file>

<file path=docProps/app.xml><?xml version="1.0" encoding="utf-8"?>
<Properties xmlns="http://schemas.openxmlformats.org/officeDocument/2006/extended-properties" xmlns:vt="http://schemas.openxmlformats.org/officeDocument/2006/docPropsVTypes">
  <Template>TM34348773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2018-08-24T15:26:52Z</dcterms:created>
  <dcterms:modified xsi:type="dcterms:W3CDTF">2025-01-10T10:41:42Z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